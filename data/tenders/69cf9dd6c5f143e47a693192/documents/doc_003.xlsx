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wmf" ContentType="image/x-wmf"/>
  <Override PartName="/xl/media/image2.wmf" ContentType="image/x-wmf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чет" sheetId="1" state="visible" r:id="rId3"/>
    <sheet name="потребность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<sst xmlns="http://schemas.openxmlformats.org/spreadsheetml/2006/main" count="71" uniqueCount="51">
  <si>
    <t xml:space="preserve">______________________________________________
(наименование казенного/бюджетного учреждения)
адрес: _____________________________________,
телефон: _______________, факс: _____________,
адрес электронной почты: ____________________</t>
  </si>
  <si>
    <t xml:space="preserve">Отчет № ___ о невозможности (нецелесообразности) использования иных способов определения поставщика (подрядчика, исполнителя), обоснование цены контракта и иных существенных условий исполнения контракта при осуществлении закупки у единственного поставщика (подрядчика, исполнителя) для обеспечения государственных (муниципальных) нужд
</t>
  </si>
  <si>
    <t xml:space="preserve">Реквизиты контракта, предмет</t>
  </si>
  <si>
    <t xml:space="preserve">Основания размещения заказа у единственного   поставщика (обоснование невозможности   или нецелесообразности использования иных способов определения поставщика, (подрядчика, исполнителя))</t>
  </si>
  <si>
    <t xml:space="preserve">Обоснование цены контракта (руб.) (расчет цены см. Приложение 1)</t>
  </si>
  <si>
    <t xml:space="preserve">Обоснование иных существенных условий контракта</t>
  </si>
  <si>
    <t xml:space="preserve">яйцо куриное пищевое столовое первой категории, выработанное и  промаркированное  в соответствии с требованиями ГОСТ Р 52121-2003, российского происхождения, сроком годности (хранения) не менее 20 суток с момента получения товара  при температуре хранения от 0 ˚С до 20˚С в количестве 26000 шт.</t>
  </si>
  <si>
    <t xml:space="preserve">Закупка осуществляется в соответствии с п.4 ч.1 ст.93 Федерального закона от 05.04.2013 N 44-ФЗ "О контрактной системе в сфере закупок товаров, работ, услуг для обеспечения государственных и муниципальных нужд" в связи с возникновением у Заказчика необходимости в сжатые сроки осуществить закупку продуктов питания для обеспечения нормального функционирования учреждений ________, осуществляющих исполнение наказаний. Объем закупки обеспечивает потребность учреждений на период, необходимый для проведения конкурентных способов осуществления закупок.</t>
  </si>
  <si>
    <t xml:space="preserve">В связи с тем, что закупка осуществляется в рамках государственного оборонного заказа, выставляется требование о российском происхождении товара.   В связи с необходимостью осуществить закупку в сжатые сроки период поставки товара установлен с 20.01.2014г.  по 25.01.2014г.</t>
  </si>
  <si>
    <t xml:space="preserve">Отчет составил:</t>
  </si>
  <si>
    <t xml:space="preserve">фио</t>
  </si>
  <si>
    <t xml:space="preserve">дата</t>
  </si>
  <si>
    <t xml:space="preserve">Заказчик:</t>
  </si>
  <si>
    <t xml:space="preserve">ПРИЛОЖЕНИЕ 1 к Отчету № ___ о невозможности (нецелесообразности) использования иных способов определения поставщика (подрядчика, исполнителя), обоснование цены контракта и иных существенных условий исполнения контракта при осуществлении закупки у единственного поставщика (подрядчика, исполнителя) для обеспечения государственных (муниципальных) нужд
</t>
  </si>
  <si>
    <t xml:space="preserve">УТВЕРЖДАЮ</t>
  </si>
  <si>
    <t xml:space="preserve">Главный врач СПб ГБУЗ "Женская консультация №18"</t>
  </si>
  <si>
    <t xml:space="preserve">________________________________  Котылевская И.В.</t>
  </si>
  <si>
    <t xml:space="preserve">"_________" _______________ 2026</t>
  </si>
  <si>
    <t xml:space="preserve">Расчет начальной (максимальной) цены контракта
Начальная (максимальная) цена контракта поставка средств дезинфицирующих для нужд Санкт-Петербургского государственного бюджетного учреждения здравоохранения «Женская консультация № 18» в 2026 году определена в соответствии со статьей 22 Федерального закона от 05.04.2013 года № 44-ФЗ «О контрактной системе в сфере закупок товаров, работ, услуг для обеспечения государственных и муниципальных нужд», приказом Минздрава России от 15.05.2020 N 450н «Об утверждении Порядка определения начальной (максимальной) цены контракта, цены контракта, заключаемого с единственным поставщиком (подрядчиком, исполнителем), и начальной цены единицы товара, работы, услуги при осуществлении закупок медицинских изделий» (далее – «Порядок») и приказом Минэкономразвития России от 02.10.2013 N 567 «Об утверждении Методических рекомендаций по применению методов определения начальной (максимальной) цены контракта, цены контракта, заключаемого с единственным поставщиком (подрядчиком, исполнителем)».
</t>
  </si>
  <si>
    <t xml:space="preserve">Обоснование начальной (максимальной) цены гражданско-правового договора (Н(М)Ц ГПД)
Метод сопоставимых рыночных цен (анализ рынка)</t>
  </si>
  <si>
    <t xml:space="preserve">№</t>
  </si>
  <si>
    <t xml:space="preserve">ОКПД2</t>
  </si>
  <si>
    <t xml:space="preserve">Наименование товара</t>
  </si>
  <si>
    <t xml:space="preserve">Существенные условия исполнения контракта</t>
  </si>
  <si>
    <t xml:space="preserve">Ед. изм</t>
  </si>
  <si>
    <t xml:space="preserve">Кол-во</t>
  </si>
  <si>
    <t xml:space="preserve">Коммерческие предложения (руб./ед.изм.)</t>
  </si>
  <si>
    <t xml:space="preserve">Однородность совокупности значений выявленных цен, используемых в расчете Н(М)Ц ГПД</t>
  </si>
  <si>
    <t xml:space="preserve">Н(М)Ц ГПД, определяемая методом сопоставимых рыночных цен (анализа рынка)</t>
  </si>
  <si>
    <t xml:space="preserve">КП №398 от 26.02.2026 </t>
  </si>
  <si>
    <t xml:space="preserve">КП №399 от 26.02.2026 </t>
  </si>
  <si>
    <t xml:space="preserve">КП №401 от 26.02.2026</t>
  </si>
  <si>
    <t xml:space="preserve">Средняя арифметическая цена за единицу     &lt;ц&gt; </t>
  </si>
  <si>
    <t xml:space="preserve">Среднее квадратичное отклонение</t>
  </si>
  <si>
    <r>
      <rPr>
        <sz val="9"/>
        <color rgb="FF000000"/>
        <rFont val="Times New Roman"/>
        <family val="1"/>
        <charset val="204"/>
      </rPr>
      <t xml:space="preserve">коэффициент вариации цен V (%)           </t>
    </r>
    <r>
      <rPr>
        <i val="true"/>
        <sz val="9"/>
        <color rgb="FF000000"/>
        <rFont val="Times New Roman"/>
        <family val="1"/>
        <charset val="204"/>
      </rPr>
      <t xml:space="preserve">                               (не должен превышать 33%)</t>
    </r>
  </si>
  <si>
    <t xml:space="preserve">Расчет Н(М)Ц ГПД по формуле                                                v - количество (объем) закупаемого товара (работы, услуги);
n - количество значений, используемых в расчете;
i - номер источника ценовой информации;
     - цена единицы</t>
  </si>
  <si>
    <t xml:space="preserve">Цена за единицу изм. (руб.)</t>
  </si>
  <si>
    <t xml:space="preserve">Цена за единицу изм. с округле-нием (вниз) до сотых долей после запятой (руб.)</t>
  </si>
  <si>
    <t xml:space="preserve">Н(М)ЦК ГПД с учетом округле-ния цены за единицу (руб.)</t>
  </si>
  <si>
    <t xml:space="preserve">20.20.14.000</t>
  </si>
  <si>
    <t xml:space="preserve">Средство дезинфицирующее</t>
  </si>
  <si>
    <t xml:space="preserve">л</t>
  </si>
  <si>
    <t xml:space="preserve">Средство дезинфицирующее </t>
  </si>
  <si>
    <t xml:space="preserve">уп</t>
  </si>
  <si>
    <t xml:space="preserve">Средство дезинфицирующее  </t>
  </si>
  <si>
    <r>
      <rPr>
        <sz val="9"/>
        <rFont val="Times New Roman"/>
        <family val="1"/>
        <charset val="204"/>
      </rPr>
      <t xml:space="preserve">Средство дезинфицирующее</t>
    </r>
    <r>
      <rPr>
        <sz val="9"/>
        <color rgb="FFFF0000"/>
        <rFont val="Times New Roman"/>
        <family val="1"/>
        <charset val="204"/>
      </rPr>
      <t xml:space="preserve"> </t>
    </r>
  </si>
  <si>
    <t xml:space="preserve">В результате проведенного расчета Н(М)Ц ГПД составила:</t>
  </si>
  <si>
    <t xml:space="preserve">рублей</t>
  </si>
  <si>
    <t xml:space="preserve">Расчет произвел:</t>
  </si>
  <si>
    <t xml:space="preserve">Н.Б. Валекжанина</t>
  </si>
  <si>
    <t xml:space="preserve">*Во избежание сговора участников размещения заказа и нарушения ст. 11 № 135-ФЗ «О защите конкуренции», Заказчик не указывает сведения о потенциальных поставщиках, сделавших коммерческие предложения, данные сведения хранятся у Заказчика.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</si>
</sst>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_-* #,##0.00_р_._-;\-* #,##0.00_р_._-;_-* \-??_р_._-;_-@_-"/>
    <numFmt numFmtId="167" formatCode="#,##0.000_р_."/>
    <numFmt numFmtId="168" formatCode="#,##0.00"/>
    <numFmt numFmtId="169" formatCode="0.0000"/>
  </numFmts>
  <fonts count="17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rgb="FF000000"/>
      <name val="Times New Roman"/>
      <family val="1"/>
      <charset val="204"/>
    </font>
    <font>
      <b val="true"/>
      <sz val="10"/>
      <color rgb="FF000000"/>
      <name val="Times New Roman"/>
      <family val="1"/>
      <charset val="204"/>
    </font>
    <font>
      <b val="true"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i val="true"/>
      <sz val="10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i val="true"/>
      <sz val="9"/>
      <color rgb="FF000000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b val="true"/>
      <sz val="9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tru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8" fillId="0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right" vertical="bottom" textRotation="0" wrapText="true" indent="0" shrinkToFit="false"/>
      <protection locked="false" hidden="false"/>
    </xf>
    <xf numFmtId="164" fontId="7" fillId="0" borderId="0" xfId="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0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wmf"/><Relationship Id="rId2" Type="http://schemas.openxmlformats.org/officeDocument/2006/relationships/image" Target="../media/image2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20160</xdr:colOff>
      <xdr:row>8</xdr:row>
      <xdr:rowOff>1047600</xdr:rowOff>
    </xdr:from>
    <xdr:to>
      <xdr:col>12</xdr:col>
      <xdr:colOff>1440</xdr:colOff>
      <xdr:row>8</xdr:row>
      <xdr:rowOff>1458360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7554600" y="3926160"/>
          <a:ext cx="1077840" cy="410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20520</xdr:colOff>
      <xdr:row>8</xdr:row>
      <xdr:rowOff>1035720</xdr:rowOff>
    </xdr:from>
    <xdr:to>
      <xdr:col>10</xdr:col>
      <xdr:colOff>1077480</xdr:colOff>
      <xdr:row>8</xdr:row>
      <xdr:rowOff>1512000</xdr:rowOff>
    </xdr:to>
    <xdr:pic>
      <xdr:nvPicPr>
        <xdr:cNvPr id="2" name="Picture 2"/>
        <xdr:cNvPicPr/>
      </xdr:nvPicPr>
      <xdr:blipFill>
        <a:blip r:embed="rId2"/>
        <a:stretch/>
      </xdr:blipFill>
      <xdr:spPr>
        <a:xfrm>
          <a:off x="6458040" y="3914280"/>
          <a:ext cx="1056960" cy="476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customHeight="false" zeroHeight="false" outlineLevelRow="0" outlineLevelCol="0"/>
  <cols>
    <col collapsed="false" customWidth="true" hidden="false" outlineLevel="0" max="1" min="1" style="1" width="44.99"/>
    <col collapsed="false" customWidth="true" hidden="false" outlineLevel="0" max="2" min="2" style="1" width="41.14"/>
    <col collapsed="false" customWidth="true" hidden="false" outlineLevel="0" max="3" min="3" style="1" width="18.14"/>
    <col collapsed="false" customWidth="true" hidden="false" outlineLevel="0" max="4" min="4" style="1" width="33.85"/>
    <col collapsed="false" customWidth="true" hidden="false" outlineLevel="0" max="10" min="5" style="1" width="28.56"/>
    <col collapsed="false" customWidth="false" hidden="false" outlineLevel="0" max="257" min="11" style="1" width="9.14"/>
  </cols>
  <sheetData>
    <row r="1" customFormat="false" ht="68.25" hidden="false" customHeight="true" outlineLevel="0" collapsed="false">
      <c r="C1" s="2" t="s">
        <v>0</v>
      </c>
      <c r="D1" s="2"/>
    </row>
    <row r="2" customFormat="false" ht="72" hidden="false" customHeight="true" outlineLevel="0" collapsed="false">
      <c r="A2" s="3" t="s">
        <v>1</v>
      </c>
      <c r="B2" s="3"/>
      <c r="C2" s="3"/>
      <c r="D2" s="3"/>
    </row>
    <row r="3" customFormat="false" ht="159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</row>
    <row r="4" customFormat="false" ht="165" hidden="false" customHeight="true" outlineLevel="0" collapsed="false">
      <c r="A4" s="5" t="s">
        <v>6</v>
      </c>
      <c r="B4" s="5" t="s">
        <v>7</v>
      </c>
      <c r="C4" s="6" t="e">
        <f aca="false">#REF!</f>
        <v>#REF!</v>
      </c>
      <c r="D4" s="5" t="s">
        <v>8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</row>
    <row r="5" customFormat="false" ht="15.75" hidden="false" customHeight="true" outlineLevel="0" collapsed="false">
      <c r="A5" s="8" t="s">
        <v>9</v>
      </c>
    </row>
    <row r="6" customFormat="false" ht="48.75" hidden="false" customHeight="true" outlineLevel="0" collapsed="false">
      <c r="A6" s="9"/>
      <c r="B6" s="10"/>
      <c r="C6" s="11"/>
      <c r="D6" s="12" t="s">
        <v>10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</row>
    <row r="7" customFormat="false" ht="18.75" hidden="false" customHeight="true" outlineLevel="0" collapsed="false">
      <c r="A7" s="9"/>
      <c r="B7" s="10"/>
      <c r="C7" s="13"/>
      <c r="D7" s="13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</row>
    <row r="8" customFormat="false" ht="11.25" hidden="false" customHeight="true" outlineLevel="0" collapsed="false">
      <c r="A8" s="9"/>
      <c r="B8" s="10"/>
      <c r="C8" s="13"/>
      <c r="D8" s="14" t="s">
        <v>11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  <c r="IS8" s="10"/>
      <c r="IT8" s="10"/>
      <c r="IU8" s="10"/>
      <c r="IV8" s="10"/>
      <c r="IW8" s="10"/>
    </row>
    <row r="9" customFormat="false" ht="19.5" hidden="false" customHeight="true" outlineLevel="0" collapsed="false">
      <c r="A9" s="8" t="s">
        <v>12</v>
      </c>
      <c r="C9" s="15"/>
    </row>
    <row r="10" customFormat="false" ht="48" hidden="false" customHeight="true" outlineLevel="0" collapsed="false">
      <c r="A10" s="9"/>
      <c r="B10" s="10"/>
      <c r="C10" s="11"/>
      <c r="D10" s="12" t="s">
        <v>10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</row>
    <row r="11" customFormat="false" ht="16.5" hidden="false" customHeight="true" outlineLevel="0" collapsed="false"/>
    <row r="12" customFormat="false" ht="12.75" hidden="false" customHeight="false" outlineLevel="0" collapsed="false">
      <c r="D12" s="14" t="s">
        <v>11</v>
      </c>
    </row>
  </sheetData>
  <mergeCells count="2">
    <mergeCell ref="C1:D1"/>
    <mergeCell ref="A2:D2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60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B10" activeCellId="0" sqref="B10:P21"/>
    </sheetView>
  </sheetViews>
  <sheetFormatPr defaultColWidth="9.13671875" defaultRowHeight="12.75" customHeight="false" zeroHeight="false" outlineLevelRow="0" outlineLevelCol="0"/>
  <cols>
    <col collapsed="false" customWidth="true" hidden="false" outlineLevel="0" max="1" min="1" style="1" width="4.41"/>
    <col collapsed="false" customWidth="true" hidden="false" outlineLevel="0" max="2" min="2" style="1" width="11.85"/>
    <col collapsed="false" customWidth="true" hidden="false" outlineLevel="0" max="3" min="3" style="1" width="22.85"/>
    <col collapsed="false" customWidth="true" hidden="true" outlineLevel="0" max="4" min="4" style="1" width="3.7"/>
    <col collapsed="false" customWidth="true" hidden="false" outlineLevel="0" max="5" min="5" style="1" width="5.85"/>
    <col collapsed="false" customWidth="true" hidden="false" outlineLevel="0" max="6" min="6" style="1" width="7.28"/>
    <col collapsed="false" customWidth="true" hidden="false" outlineLevel="0" max="7" min="7" style="1" width="8.41"/>
    <col collapsed="false" customWidth="true" hidden="false" outlineLevel="0" max="8" min="8" style="1" width="8.7"/>
    <col collapsed="false" customWidth="true" hidden="false" outlineLevel="0" max="9" min="9" style="1" width="8.85"/>
    <col collapsed="false" customWidth="true" hidden="false" outlineLevel="0" max="10" min="10" style="1" width="13.14"/>
    <col collapsed="false" customWidth="true" hidden="false" outlineLevel="0" max="12" min="11" style="1" width="15.56"/>
    <col collapsed="false" customWidth="true" hidden="false" outlineLevel="0" max="13" min="13" style="1" width="23.28"/>
    <col collapsed="false" customWidth="true" hidden="false" outlineLevel="0" max="14" min="14" style="1" width="12.14"/>
    <col collapsed="false" customWidth="true" hidden="false" outlineLevel="0" max="15" min="15" style="1" width="9.41"/>
    <col collapsed="false" customWidth="true" hidden="false" outlineLevel="0" max="16" min="16" style="1" width="12.7"/>
    <col collapsed="false" customWidth="false" hidden="true" outlineLevel="0" max="17" min="17" style="1" width="9.14"/>
    <col collapsed="false" customWidth="true" hidden="true" outlineLevel="0" max="18" min="18" style="1" width="9.56"/>
    <col collapsed="false" customWidth="false" hidden="false" outlineLevel="0" max="257" min="19" style="1" width="9.14"/>
  </cols>
  <sheetData>
    <row r="1" customFormat="false" ht="111.75" hidden="true" customHeight="true" outlineLevel="0" collapsed="false">
      <c r="N1" s="16" t="s">
        <v>13</v>
      </c>
      <c r="O1" s="16"/>
      <c r="P1" s="16"/>
      <c r="Q1" s="16"/>
      <c r="R1" s="16"/>
    </row>
    <row r="2" customFormat="false" ht="20.1" hidden="false" customHeight="true" outlineLevel="0" collapsed="false">
      <c r="M2" s="17" t="s">
        <v>14</v>
      </c>
      <c r="N2" s="17"/>
      <c r="O2" s="17"/>
      <c r="P2" s="17"/>
      <c r="Q2" s="17"/>
      <c r="R2" s="18"/>
    </row>
    <row r="3" customFormat="false" ht="20.1" hidden="false" customHeight="true" outlineLevel="0" collapsed="false">
      <c r="M3" s="19" t="s">
        <v>15</v>
      </c>
      <c r="N3" s="19"/>
      <c r="O3" s="19"/>
      <c r="P3" s="19"/>
      <c r="Q3" s="19"/>
      <c r="R3" s="19"/>
    </row>
    <row r="4" customFormat="false" ht="20.1" hidden="false" customHeight="true" outlineLevel="0" collapsed="false">
      <c r="M4" s="20" t="s">
        <v>16</v>
      </c>
      <c r="N4" s="20"/>
      <c r="O4" s="20"/>
      <c r="P4" s="20"/>
      <c r="Q4" s="20"/>
      <c r="R4" s="20"/>
    </row>
    <row r="5" customFormat="false" ht="20.1" hidden="false" customHeight="true" outlineLevel="0" collapsed="false">
      <c r="M5" s="21" t="s">
        <v>17</v>
      </c>
      <c r="N5" s="21"/>
      <c r="O5" s="21"/>
      <c r="P5" s="21"/>
      <c r="Q5" s="21"/>
      <c r="R5" s="21"/>
    </row>
    <row r="6" customFormat="false" ht="94.5" hidden="false" customHeight="true" outlineLevel="0" collapsed="false">
      <c r="A6" s="22" t="s">
        <v>18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18"/>
      <c r="R6" s="18"/>
    </row>
    <row r="7" customFormat="false" ht="39" hidden="false" customHeight="true" outlineLevel="0" collapsed="false">
      <c r="A7" s="23" t="s">
        <v>19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</row>
    <row r="8" customFormat="false" ht="12.75" hidden="false" customHeight="true" outlineLevel="0" collapsed="false">
      <c r="A8" s="24" t="s">
        <v>20</v>
      </c>
      <c r="B8" s="24" t="s">
        <v>21</v>
      </c>
      <c r="C8" s="24" t="s">
        <v>22</v>
      </c>
      <c r="D8" s="24" t="s">
        <v>23</v>
      </c>
      <c r="E8" s="24" t="s">
        <v>24</v>
      </c>
      <c r="F8" s="24" t="s">
        <v>25</v>
      </c>
      <c r="G8" s="24" t="s">
        <v>26</v>
      </c>
      <c r="H8" s="24"/>
      <c r="I8" s="24"/>
      <c r="J8" s="25" t="s">
        <v>27</v>
      </c>
      <c r="K8" s="25"/>
      <c r="L8" s="25"/>
      <c r="M8" s="26" t="s">
        <v>28</v>
      </c>
      <c r="N8" s="26"/>
      <c r="O8" s="26"/>
      <c r="P8" s="26"/>
      <c r="Q8" s="27"/>
      <c r="R8" s="27"/>
    </row>
    <row r="9" customFormat="false" ht="120" hidden="false" customHeight="false" outlineLevel="0" collapsed="false">
      <c r="A9" s="24"/>
      <c r="B9" s="24"/>
      <c r="C9" s="24"/>
      <c r="D9" s="24"/>
      <c r="E9" s="24"/>
      <c r="F9" s="24"/>
      <c r="G9" s="28" t="s">
        <v>29</v>
      </c>
      <c r="H9" s="28" t="s">
        <v>30</v>
      </c>
      <c r="I9" s="28" t="s">
        <v>31</v>
      </c>
      <c r="J9" s="28" t="s">
        <v>32</v>
      </c>
      <c r="K9" s="28" t="s">
        <v>33</v>
      </c>
      <c r="L9" s="28" t="s">
        <v>34</v>
      </c>
      <c r="M9" s="26" t="s">
        <v>35</v>
      </c>
      <c r="N9" s="26" t="s">
        <v>36</v>
      </c>
      <c r="O9" s="26" t="s">
        <v>37</v>
      </c>
      <c r="P9" s="26" t="s">
        <v>38</v>
      </c>
      <c r="Q9" s="27"/>
      <c r="R9" s="27"/>
    </row>
    <row r="10" customFormat="false" ht="22.5" hidden="false" customHeight="true" outlineLevel="0" collapsed="false">
      <c r="A10" s="29" t="n">
        <v>1</v>
      </c>
      <c r="B10" s="30" t="s">
        <v>39</v>
      </c>
      <c r="C10" s="31" t="s">
        <v>40</v>
      </c>
      <c r="D10" s="30"/>
      <c r="E10" s="30" t="s">
        <v>41</v>
      </c>
      <c r="F10" s="30" t="n">
        <v>100</v>
      </c>
      <c r="G10" s="32" t="n">
        <v>688</v>
      </c>
      <c r="H10" s="32" t="n">
        <v>675</v>
      </c>
      <c r="I10" s="32" t="n">
        <v>655</v>
      </c>
      <c r="J10" s="33" t="n">
        <f aca="false">AVERAGE(G10:I10)</f>
        <v>672.67</v>
      </c>
      <c r="K10" s="34" t="n">
        <f aca="false">SQRT(((SUM((POWER(I10-J10,2)),(POWER(H10-J10,2)),(POWER(G10-J10,2)))/(COLUMNS(G10:I10)-1))))</f>
        <v>16.6232773543607</v>
      </c>
      <c r="L10" s="34" t="n">
        <f aca="false">K10/J10*100</f>
        <v>2.47123810402733</v>
      </c>
      <c r="M10" s="35" t="n">
        <f aca="false">((F10/3)*(SUM(G10:I10)))</f>
        <v>67266.67</v>
      </c>
      <c r="N10" s="36" t="n">
        <f aca="false">M10/F10</f>
        <v>672.6667</v>
      </c>
      <c r="O10" s="37" t="n">
        <f aca="false">ROUNDDOWN(N10,2)</f>
        <v>672.66</v>
      </c>
      <c r="P10" s="37" t="n">
        <f aca="false">O10*F10</f>
        <v>67266</v>
      </c>
      <c r="Q10" s="38"/>
      <c r="R10" s="38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  <c r="HC10" s="39"/>
      <c r="HD10" s="39"/>
      <c r="HE10" s="39"/>
      <c r="HF10" s="39"/>
      <c r="HG10" s="39"/>
      <c r="HH10" s="39"/>
      <c r="HI10" s="39"/>
      <c r="HJ10" s="39"/>
      <c r="HK10" s="39"/>
      <c r="HL10" s="39"/>
      <c r="HM10" s="39"/>
      <c r="HN10" s="39"/>
      <c r="HO10" s="39"/>
      <c r="HP10" s="39"/>
      <c r="HQ10" s="39"/>
      <c r="HR10" s="39"/>
      <c r="HS10" s="39"/>
      <c r="HT10" s="39"/>
      <c r="HU10" s="39"/>
      <c r="HV10" s="39"/>
      <c r="HW10" s="39"/>
      <c r="HX10" s="39"/>
      <c r="HY10" s="39"/>
      <c r="HZ10" s="39"/>
      <c r="IA10" s="39"/>
      <c r="IB10" s="39"/>
      <c r="IC10" s="39"/>
      <c r="ID10" s="39"/>
      <c r="IE10" s="39"/>
      <c r="IF10" s="39"/>
      <c r="IG10" s="39"/>
      <c r="IH10" s="39"/>
      <c r="II10" s="39"/>
      <c r="IJ10" s="39"/>
      <c r="IK10" s="39"/>
      <c r="IL10" s="39"/>
      <c r="IM10" s="39"/>
      <c r="IN10" s="39"/>
      <c r="IO10" s="39"/>
      <c r="IP10" s="39"/>
      <c r="IQ10" s="39"/>
      <c r="IR10" s="39"/>
      <c r="IS10" s="39"/>
      <c r="IT10" s="39"/>
      <c r="IU10" s="39"/>
      <c r="IV10" s="39"/>
      <c r="IW10" s="39"/>
    </row>
    <row r="11" customFormat="false" ht="12.75" hidden="false" customHeight="false" outlineLevel="0" collapsed="false">
      <c r="A11" s="40" t="n">
        <v>2</v>
      </c>
      <c r="B11" s="30"/>
      <c r="C11" s="41" t="s">
        <v>42</v>
      </c>
      <c r="D11" s="30"/>
      <c r="E11" s="30" t="s">
        <v>41</v>
      </c>
      <c r="F11" s="30" t="n">
        <v>120</v>
      </c>
      <c r="G11" s="32" t="n">
        <v>370</v>
      </c>
      <c r="H11" s="32" t="n">
        <v>363</v>
      </c>
      <c r="I11" s="32" t="n">
        <v>352</v>
      </c>
      <c r="J11" s="33" t="n">
        <f aca="false">AVERAGE(G11:I11)</f>
        <v>361.67</v>
      </c>
      <c r="K11" s="34" t="n">
        <f aca="false">SQRT(((SUM((POWER(I11-J11,2)),(POWER(H11-J11,2)),(POWER(G11-J11,2)))/(COLUMNS(G11:I11)-1))))</f>
        <v>9.07377264427537</v>
      </c>
      <c r="L11" s="34" t="n">
        <f aca="false">K11/J11*100</f>
        <v>2.50885410575258</v>
      </c>
      <c r="M11" s="35" t="n">
        <f aca="false">((F11/3)*(SUM(G11:I11)))</f>
        <v>43400</v>
      </c>
      <c r="N11" s="36" t="n">
        <f aca="false">M11/F11</f>
        <v>361.6667</v>
      </c>
      <c r="O11" s="37" t="n">
        <f aca="false">ROUNDDOWN(N11,2)</f>
        <v>361.66</v>
      </c>
      <c r="P11" s="37" t="n">
        <f aca="false">O11*F11</f>
        <v>43399.2</v>
      </c>
      <c r="Q11" s="38"/>
      <c r="R11" s="38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  <c r="FU11" s="39"/>
      <c r="FV11" s="39"/>
      <c r="FW11" s="39"/>
      <c r="FX11" s="39"/>
      <c r="FY11" s="39"/>
      <c r="FZ11" s="39"/>
      <c r="GA11" s="39"/>
      <c r="GB11" s="39"/>
      <c r="GC11" s="39"/>
      <c r="GD11" s="39"/>
      <c r="GE11" s="39"/>
      <c r="GF11" s="39"/>
      <c r="GG11" s="39"/>
      <c r="GH11" s="39"/>
      <c r="GI11" s="39"/>
      <c r="GJ11" s="39"/>
      <c r="GK11" s="39"/>
      <c r="GL11" s="39"/>
      <c r="GM11" s="39"/>
      <c r="GN11" s="39"/>
      <c r="GO11" s="39"/>
      <c r="GP11" s="39"/>
      <c r="GQ11" s="39"/>
      <c r="GR11" s="39"/>
      <c r="GS11" s="39"/>
      <c r="GT11" s="39"/>
      <c r="GU11" s="39"/>
      <c r="GV11" s="39"/>
      <c r="GW11" s="39"/>
      <c r="GX11" s="39"/>
      <c r="GY11" s="39"/>
      <c r="GZ11" s="39"/>
      <c r="HA11" s="39"/>
      <c r="HB11" s="39"/>
      <c r="HC11" s="39"/>
      <c r="HD11" s="39"/>
      <c r="HE11" s="39"/>
      <c r="HF11" s="39"/>
      <c r="HG11" s="39"/>
      <c r="HH11" s="39"/>
      <c r="HI11" s="39"/>
      <c r="HJ11" s="39"/>
      <c r="HK11" s="39"/>
      <c r="HL11" s="39"/>
      <c r="HM11" s="39"/>
      <c r="HN11" s="39"/>
      <c r="HO11" s="39"/>
      <c r="HP11" s="39"/>
      <c r="HQ11" s="39"/>
      <c r="HR11" s="39"/>
      <c r="HS11" s="39"/>
      <c r="HT11" s="39"/>
      <c r="HU11" s="39"/>
      <c r="HV11" s="39"/>
      <c r="HW11" s="39"/>
      <c r="HX11" s="39"/>
      <c r="HY11" s="39"/>
      <c r="HZ11" s="39"/>
      <c r="IA11" s="39"/>
      <c r="IB11" s="39"/>
      <c r="IC11" s="39"/>
      <c r="ID11" s="39"/>
      <c r="IE11" s="39"/>
      <c r="IF11" s="39"/>
      <c r="IG11" s="39"/>
      <c r="IH11" s="39"/>
      <c r="II11" s="39"/>
      <c r="IJ11" s="39"/>
      <c r="IK11" s="39"/>
      <c r="IL11" s="39"/>
      <c r="IM11" s="39"/>
      <c r="IN11" s="39"/>
      <c r="IO11" s="39"/>
      <c r="IP11" s="39"/>
      <c r="IQ11" s="39"/>
      <c r="IR11" s="39"/>
      <c r="IS11" s="39"/>
      <c r="IT11" s="39"/>
      <c r="IU11" s="39"/>
      <c r="IV11" s="39"/>
      <c r="IW11" s="39"/>
    </row>
    <row r="12" customFormat="false" ht="12.75" hidden="false" customHeight="false" outlineLevel="0" collapsed="false">
      <c r="A12" s="29" t="n">
        <v>3</v>
      </c>
      <c r="B12" s="30"/>
      <c r="C12" s="41" t="s">
        <v>42</v>
      </c>
      <c r="D12" s="30"/>
      <c r="E12" s="30" t="s">
        <v>41</v>
      </c>
      <c r="F12" s="30" t="n">
        <v>40</v>
      </c>
      <c r="G12" s="32" t="n">
        <v>1115</v>
      </c>
      <c r="H12" s="32" t="n">
        <v>1093</v>
      </c>
      <c r="I12" s="32" t="n">
        <v>1061</v>
      </c>
      <c r="J12" s="33" t="n">
        <f aca="false">AVERAGE(G12:I12)</f>
        <v>1089.67</v>
      </c>
      <c r="K12" s="34" t="n">
        <f aca="false">SQRT(((SUM((POWER(I12-J12,2)),(POWER(H12-J12,2)),(POWER(G12-J12,2)))/(COLUMNS(G12:I12)-1))))</f>
        <v>27.153882779448</v>
      </c>
      <c r="L12" s="34" t="n">
        <f aca="false">K12/J12*100</f>
        <v>2.49193634581552</v>
      </c>
      <c r="M12" s="35" t="n">
        <f aca="false">((F12/3)*(SUM(G12:I12)))</f>
        <v>43586.67</v>
      </c>
      <c r="N12" s="36" t="n">
        <f aca="false">M12/F12</f>
        <v>1089.6668</v>
      </c>
      <c r="O12" s="37" t="n">
        <f aca="false">ROUNDDOWN(N12,2)</f>
        <v>1089.66</v>
      </c>
      <c r="P12" s="37" t="n">
        <f aca="false">O12*F12</f>
        <v>43586.4</v>
      </c>
      <c r="Q12" s="38"/>
      <c r="R12" s="38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  <c r="EY12" s="39"/>
      <c r="EZ12" s="39"/>
      <c r="FA12" s="39"/>
      <c r="FB12" s="39"/>
      <c r="FC12" s="39"/>
      <c r="FD12" s="39"/>
      <c r="FE12" s="39"/>
      <c r="FF12" s="39"/>
      <c r="FG12" s="39"/>
      <c r="FH12" s="39"/>
      <c r="FI12" s="39"/>
      <c r="FJ12" s="39"/>
      <c r="FK12" s="39"/>
      <c r="FL12" s="39"/>
      <c r="FM12" s="39"/>
      <c r="FN12" s="39"/>
      <c r="FO12" s="39"/>
      <c r="FP12" s="39"/>
      <c r="FQ12" s="39"/>
      <c r="FR12" s="39"/>
      <c r="FS12" s="39"/>
      <c r="FT12" s="39"/>
      <c r="FU12" s="39"/>
      <c r="FV12" s="39"/>
      <c r="FW12" s="39"/>
      <c r="FX12" s="39"/>
      <c r="FY12" s="39"/>
      <c r="FZ12" s="39"/>
      <c r="GA12" s="39"/>
      <c r="GB12" s="39"/>
      <c r="GC12" s="39"/>
      <c r="GD12" s="39"/>
      <c r="GE12" s="39"/>
      <c r="GF12" s="39"/>
      <c r="GG12" s="39"/>
      <c r="GH12" s="39"/>
      <c r="GI12" s="39"/>
      <c r="GJ12" s="39"/>
      <c r="GK12" s="39"/>
      <c r="GL12" s="39"/>
      <c r="GM12" s="39"/>
      <c r="GN12" s="39"/>
      <c r="GO12" s="39"/>
      <c r="GP12" s="39"/>
      <c r="GQ12" s="39"/>
      <c r="GR12" s="39"/>
      <c r="GS12" s="39"/>
      <c r="GT12" s="39"/>
      <c r="GU12" s="39"/>
      <c r="GV12" s="39"/>
      <c r="GW12" s="39"/>
      <c r="GX12" s="39"/>
      <c r="GY12" s="39"/>
      <c r="GZ12" s="39"/>
      <c r="HA12" s="39"/>
      <c r="HB12" s="39"/>
      <c r="HC12" s="39"/>
      <c r="HD12" s="39"/>
      <c r="HE12" s="39"/>
      <c r="HF12" s="39"/>
      <c r="HG12" s="39"/>
      <c r="HH12" s="39"/>
      <c r="HI12" s="39"/>
      <c r="HJ12" s="39"/>
      <c r="HK12" s="39"/>
      <c r="HL12" s="39"/>
      <c r="HM12" s="39"/>
      <c r="HN12" s="39"/>
      <c r="HO12" s="39"/>
      <c r="HP12" s="39"/>
      <c r="HQ12" s="39"/>
      <c r="HR12" s="39"/>
      <c r="HS12" s="39"/>
      <c r="HT12" s="39"/>
      <c r="HU12" s="39"/>
      <c r="HV12" s="39"/>
      <c r="HW12" s="39"/>
      <c r="HX12" s="39"/>
      <c r="HY12" s="39"/>
      <c r="HZ12" s="39"/>
      <c r="IA12" s="39"/>
      <c r="IB12" s="39"/>
      <c r="IC12" s="39"/>
      <c r="ID12" s="39"/>
      <c r="IE12" s="39"/>
      <c r="IF12" s="39"/>
      <c r="IG12" s="39"/>
      <c r="IH12" s="39"/>
      <c r="II12" s="39"/>
      <c r="IJ12" s="39"/>
      <c r="IK12" s="39"/>
      <c r="IL12" s="39"/>
      <c r="IM12" s="39"/>
      <c r="IN12" s="39"/>
      <c r="IO12" s="39"/>
      <c r="IP12" s="39"/>
      <c r="IQ12" s="39"/>
      <c r="IR12" s="39"/>
      <c r="IS12" s="39"/>
      <c r="IT12" s="39"/>
      <c r="IU12" s="39"/>
      <c r="IV12" s="39"/>
      <c r="IW12" s="39"/>
    </row>
    <row r="13" customFormat="false" ht="12.75" hidden="false" customHeight="false" outlineLevel="0" collapsed="false">
      <c r="A13" s="29" t="n">
        <v>4</v>
      </c>
      <c r="B13" s="30"/>
      <c r="C13" s="41" t="s">
        <v>42</v>
      </c>
      <c r="D13" s="30"/>
      <c r="E13" s="30" t="s">
        <v>41</v>
      </c>
      <c r="F13" s="30" t="n">
        <v>75</v>
      </c>
      <c r="G13" s="32" t="n">
        <v>876</v>
      </c>
      <c r="H13" s="32" t="n">
        <v>860</v>
      </c>
      <c r="I13" s="32" t="n">
        <v>832</v>
      </c>
      <c r="J13" s="33" t="n">
        <f aca="false">AVERAGE(G13:I13)</f>
        <v>856</v>
      </c>
      <c r="K13" s="34" t="n">
        <f aca="false">SQRT(((SUM((POWER(I13-J13,2)),(POWER(H13-J13,2)),(POWER(G13-J13,2)))/(COLUMNS(G13:I13)-1))))</f>
        <v>22.2710574513201</v>
      </c>
      <c r="L13" s="34" t="n">
        <f aca="false">K13/J13*100</f>
        <v>2.60175904805141</v>
      </c>
      <c r="M13" s="35" t="n">
        <f aca="false">((F13/3)*(SUM(G13:I13)))</f>
        <v>64200</v>
      </c>
      <c r="N13" s="36" t="n">
        <f aca="false">M13/F13</f>
        <v>856</v>
      </c>
      <c r="O13" s="37" t="n">
        <f aca="false">ROUNDDOWN(N13,2)</f>
        <v>856</v>
      </c>
      <c r="P13" s="37" t="n">
        <f aca="false">O13*F13</f>
        <v>64200</v>
      </c>
      <c r="Q13" s="38"/>
      <c r="R13" s="38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  <c r="FU13" s="39"/>
      <c r="FV13" s="39"/>
      <c r="FW13" s="39"/>
      <c r="FX13" s="39"/>
      <c r="FY13" s="39"/>
      <c r="FZ13" s="39"/>
      <c r="GA13" s="39"/>
      <c r="GB13" s="39"/>
      <c r="GC13" s="39"/>
      <c r="GD13" s="39"/>
      <c r="GE13" s="39"/>
      <c r="GF13" s="39"/>
      <c r="GG13" s="39"/>
      <c r="GH13" s="39"/>
      <c r="GI13" s="39"/>
      <c r="GJ13" s="39"/>
      <c r="GK13" s="39"/>
      <c r="GL13" s="39"/>
      <c r="GM13" s="39"/>
      <c r="GN13" s="39"/>
      <c r="GO13" s="39"/>
      <c r="GP13" s="39"/>
      <c r="GQ13" s="39"/>
      <c r="GR13" s="39"/>
      <c r="GS13" s="39"/>
      <c r="GT13" s="39"/>
      <c r="GU13" s="39"/>
      <c r="GV13" s="39"/>
      <c r="GW13" s="39"/>
      <c r="GX13" s="39"/>
      <c r="GY13" s="39"/>
      <c r="GZ13" s="39"/>
      <c r="HA13" s="39"/>
      <c r="HB13" s="39"/>
      <c r="HC13" s="39"/>
      <c r="HD13" s="39"/>
      <c r="HE13" s="39"/>
      <c r="HF13" s="39"/>
      <c r="HG13" s="39"/>
      <c r="HH13" s="39"/>
      <c r="HI13" s="39"/>
      <c r="HJ13" s="39"/>
      <c r="HK13" s="39"/>
      <c r="HL13" s="39"/>
      <c r="HM13" s="39"/>
      <c r="HN13" s="39"/>
      <c r="HO13" s="39"/>
      <c r="HP13" s="39"/>
      <c r="HQ13" s="39"/>
      <c r="HR13" s="39"/>
      <c r="HS13" s="39"/>
      <c r="HT13" s="39"/>
      <c r="HU13" s="39"/>
      <c r="HV13" s="39"/>
      <c r="HW13" s="39"/>
      <c r="HX13" s="39"/>
      <c r="HY13" s="39"/>
      <c r="HZ13" s="39"/>
      <c r="IA13" s="39"/>
      <c r="IB13" s="39"/>
      <c r="IC13" s="39"/>
      <c r="ID13" s="39"/>
      <c r="IE13" s="39"/>
      <c r="IF13" s="39"/>
      <c r="IG13" s="39"/>
      <c r="IH13" s="39"/>
      <c r="II13" s="39"/>
      <c r="IJ13" s="39"/>
      <c r="IK13" s="39"/>
      <c r="IL13" s="39"/>
      <c r="IM13" s="39"/>
      <c r="IN13" s="39"/>
      <c r="IO13" s="39"/>
      <c r="IP13" s="39"/>
      <c r="IQ13" s="39"/>
      <c r="IR13" s="39"/>
      <c r="IS13" s="39"/>
      <c r="IT13" s="39"/>
      <c r="IU13" s="39"/>
      <c r="IV13" s="39"/>
      <c r="IW13" s="39"/>
    </row>
    <row r="14" customFormat="false" ht="12.75" hidden="false" customHeight="false" outlineLevel="0" collapsed="false">
      <c r="A14" s="29" t="n">
        <v>5</v>
      </c>
      <c r="B14" s="30"/>
      <c r="C14" s="41" t="s">
        <v>42</v>
      </c>
      <c r="D14" s="30"/>
      <c r="E14" s="30" t="s">
        <v>43</v>
      </c>
      <c r="F14" s="30" t="n">
        <v>200</v>
      </c>
      <c r="G14" s="32" t="n">
        <v>690</v>
      </c>
      <c r="H14" s="32" t="n">
        <v>677</v>
      </c>
      <c r="I14" s="32" t="n">
        <v>657</v>
      </c>
      <c r="J14" s="33" t="n">
        <f aca="false">AVERAGE(G14:I14)</f>
        <v>674.67</v>
      </c>
      <c r="K14" s="34" t="n">
        <f aca="false">SQRT(((SUM((POWER(I14-J14,2)),(POWER(H14-J14,2)),(POWER(G14-J14,2)))/(COLUMNS(G14:I14)-1))))</f>
        <v>16.6232773543607</v>
      </c>
      <c r="L14" s="34" t="n">
        <f aca="false">K14/J14*100</f>
        <v>2.46391233556563</v>
      </c>
      <c r="M14" s="35" t="n">
        <f aca="false">((F14/3)*(SUM(G14:I14)))</f>
        <v>134933.33</v>
      </c>
      <c r="N14" s="36" t="n">
        <f aca="false">M14/F14</f>
        <v>674.6667</v>
      </c>
      <c r="O14" s="37" t="n">
        <f aca="false">ROUNDDOWN(N14,2)</f>
        <v>674.66</v>
      </c>
      <c r="P14" s="37" t="n">
        <f aca="false">O14*F14</f>
        <v>134932</v>
      </c>
      <c r="Q14" s="38"/>
      <c r="R14" s="38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9"/>
      <c r="GU14" s="39"/>
      <c r="GV14" s="39"/>
      <c r="GW14" s="39"/>
      <c r="GX14" s="39"/>
      <c r="GY14" s="39"/>
      <c r="GZ14" s="39"/>
      <c r="HA14" s="39"/>
      <c r="HB14" s="39"/>
      <c r="HC14" s="39"/>
      <c r="HD14" s="39"/>
      <c r="HE14" s="39"/>
      <c r="HF14" s="39"/>
      <c r="HG14" s="39"/>
      <c r="HH14" s="39"/>
      <c r="HI14" s="39"/>
      <c r="HJ14" s="39"/>
      <c r="HK14" s="39"/>
      <c r="HL14" s="39"/>
      <c r="HM14" s="39"/>
      <c r="HN14" s="39"/>
      <c r="HO14" s="39"/>
      <c r="HP14" s="39"/>
      <c r="HQ14" s="39"/>
      <c r="HR14" s="39"/>
      <c r="HS14" s="39"/>
      <c r="HT14" s="39"/>
      <c r="HU14" s="39"/>
      <c r="HV14" s="39"/>
      <c r="HW14" s="39"/>
      <c r="HX14" s="39"/>
      <c r="HY14" s="39"/>
      <c r="HZ14" s="39"/>
      <c r="IA14" s="39"/>
      <c r="IB14" s="39"/>
      <c r="IC14" s="39"/>
      <c r="ID14" s="39"/>
      <c r="IE14" s="39"/>
      <c r="IF14" s="39"/>
      <c r="IG14" s="39"/>
      <c r="IH14" s="39"/>
      <c r="II14" s="39"/>
      <c r="IJ14" s="39"/>
      <c r="IK14" s="39"/>
      <c r="IL14" s="39"/>
      <c r="IM14" s="39"/>
      <c r="IN14" s="39"/>
      <c r="IO14" s="39"/>
      <c r="IP14" s="39"/>
      <c r="IQ14" s="39"/>
      <c r="IR14" s="39"/>
      <c r="IS14" s="39"/>
      <c r="IT14" s="39"/>
      <c r="IU14" s="39"/>
      <c r="IV14" s="39"/>
      <c r="IW14" s="39"/>
    </row>
    <row r="15" customFormat="false" ht="12.75" hidden="false" customHeight="false" outlineLevel="0" collapsed="false">
      <c r="A15" s="29" t="n">
        <v>6</v>
      </c>
      <c r="B15" s="30"/>
      <c r="C15" s="42" t="s">
        <v>42</v>
      </c>
      <c r="D15" s="30"/>
      <c r="E15" s="30" t="s">
        <v>41</v>
      </c>
      <c r="F15" s="30" t="n">
        <v>60</v>
      </c>
      <c r="G15" s="32" t="n">
        <v>748</v>
      </c>
      <c r="H15" s="32" t="n">
        <v>734</v>
      </c>
      <c r="I15" s="32" t="n">
        <v>712</v>
      </c>
      <c r="J15" s="33" t="n">
        <f aca="false">AVERAGE(G15:I15)</f>
        <v>731.33</v>
      </c>
      <c r="K15" s="34" t="n">
        <f aca="false">SQRT(((SUM((POWER(I15-J15,2)),(POWER(H15-J15,2)),(POWER(G15-J15,2)))/(COLUMNS(G15:I15)-1))))</f>
        <v>18.1475439109539</v>
      </c>
      <c r="L15" s="34" t="n">
        <f aca="false">K15/J15*100</f>
        <v>2.48144393241818</v>
      </c>
      <c r="M15" s="35" t="n">
        <f aca="false">((F15/3)*(SUM(G15:I15)))</f>
        <v>43880</v>
      </c>
      <c r="N15" s="36" t="n">
        <f aca="false">M15/F15</f>
        <v>731.3333</v>
      </c>
      <c r="O15" s="37" t="n">
        <f aca="false">ROUNDDOWN(N15,2)</f>
        <v>731.33</v>
      </c>
      <c r="P15" s="37" t="n">
        <f aca="false">O15*F15</f>
        <v>43879.8</v>
      </c>
      <c r="Q15" s="38"/>
      <c r="R15" s="38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  <c r="FU15" s="39"/>
      <c r="FV15" s="39"/>
      <c r="FW15" s="39"/>
      <c r="FX15" s="39"/>
      <c r="FY15" s="39"/>
      <c r="FZ15" s="39"/>
      <c r="GA15" s="39"/>
      <c r="GB15" s="39"/>
      <c r="GC15" s="39"/>
      <c r="GD15" s="39"/>
      <c r="GE15" s="39"/>
      <c r="GF15" s="39"/>
      <c r="GG15" s="39"/>
      <c r="GH15" s="39"/>
      <c r="GI15" s="39"/>
      <c r="GJ15" s="39"/>
      <c r="GK15" s="39"/>
      <c r="GL15" s="39"/>
      <c r="GM15" s="39"/>
      <c r="GN15" s="39"/>
      <c r="GO15" s="39"/>
      <c r="GP15" s="39"/>
      <c r="GQ15" s="39"/>
      <c r="GR15" s="39"/>
      <c r="GS15" s="39"/>
      <c r="GT15" s="39"/>
      <c r="GU15" s="39"/>
      <c r="GV15" s="39"/>
      <c r="GW15" s="39"/>
      <c r="GX15" s="39"/>
      <c r="GY15" s="39"/>
      <c r="GZ15" s="39"/>
      <c r="HA15" s="39"/>
      <c r="HB15" s="39"/>
      <c r="HC15" s="39"/>
      <c r="HD15" s="39"/>
      <c r="HE15" s="39"/>
      <c r="HF15" s="39"/>
      <c r="HG15" s="39"/>
      <c r="HH15" s="39"/>
      <c r="HI15" s="39"/>
      <c r="HJ15" s="39"/>
      <c r="HK15" s="39"/>
      <c r="HL15" s="39"/>
      <c r="HM15" s="39"/>
      <c r="HN15" s="39"/>
      <c r="HO15" s="39"/>
      <c r="HP15" s="39"/>
      <c r="HQ15" s="39"/>
      <c r="HR15" s="39"/>
      <c r="HS15" s="39"/>
      <c r="HT15" s="39"/>
      <c r="HU15" s="39"/>
      <c r="HV15" s="39"/>
      <c r="HW15" s="39"/>
      <c r="HX15" s="39"/>
      <c r="HY15" s="39"/>
      <c r="HZ15" s="39"/>
      <c r="IA15" s="39"/>
      <c r="IB15" s="39"/>
      <c r="IC15" s="39"/>
      <c r="ID15" s="39"/>
      <c r="IE15" s="39"/>
      <c r="IF15" s="39"/>
      <c r="IG15" s="39"/>
      <c r="IH15" s="39"/>
      <c r="II15" s="39"/>
      <c r="IJ15" s="39"/>
      <c r="IK15" s="39"/>
      <c r="IL15" s="39"/>
      <c r="IM15" s="39"/>
      <c r="IN15" s="39"/>
      <c r="IO15" s="39"/>
      <c r="IP15" s="39"/>
      <c r="IQ15" s="39"/>
      <c r="IR15" s="39"/>
      <c r="IS15" s="39"/>
      <c r="IT15" s="39"/>
      <c r="IU15" s="39"/>
      <c r="IV15" s="39"/>
      <c r="IW15" s="39"/>
    </row>
    <row r="16" customFormat="false" ht="12.75" hidden="false" customHeight="false" outlineLevel="0" collapsed="false">
      <c r="A16" s="29" t="n">
        <v>7</v>
      </c>
      <c r="B16" s="30"/>
      <c r="C16" s="42" t="s">
        <v>42</v>
      </c>
      <c r="D16" s="30"/>
      <c r="E16" s="30" t="s">
        <v>43</v>
      </c>
      <c r="F16" s="43" t="n">
        <v>5</v>
      </c>
      <c r="G16" s="32" t="n">
        <v>1939</v>
      </c>
      <c r="H16" s="32" t="n">
        <v>1902</v>
      </c>
      <c r="I16" s="32" t="n">
        <v>1846</v>
      </c>
      <c r="J16" s="33" t="n">
        <f aca="false">AVERAGE(G16:I16)</f>
        <v>1895.67</v>
      </c>
      <c r="K16" s="34" t="n">
        <f aca="false">SQRT(((SUM((POWER(I16-J16,2)),(POWER(H16-J16,2)),(POWER(G16-J16,2)))/(COLUMNS(G16:I16)-1))))</f>
        <v>46.8223595091063</v>
      </c>
      <c r="L16" s="34" t="n">
        <f aca="false">K16/J16*100</f>
        <v>2.46996362811599</v>
      </c>
      <c r="M16" s="35" t="n">
        <f aca="false">((F16/3)*(SUM(G16:I16)))</f>
        <v>9478.33</v>
      </c>
      <c r="N16" s="36" t="n">
        <f aca="false">M16/F16</f>
        <v>1895.666</v>
      </c>
      <c r="O16" s="37" t="n">
        <f aca="false">ROUNDDOWN(N16,2)</f>
        <v>1895.66</v>
      </c>
      <c r="P16" s="37" t="n">
        <f aca="false">O16*F16</f>
        <v>9478.3</v>
      </c>
      <c r="Q16" s="38"/>
      <c r="R16" s="38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  <c r="FU16" s="39"/>
      <c r="FV16" s="39"/>
      <c r="FW16" s="39"/>
      <c r="FX16" s="39"/>
      <c r="FY16" s="39"/>
      <c r="FZ16" s="39"/>
      <c r="GA16" s="39"/>
      <c r="GB16" s="39"/>
      <c r="GC16" s="39"/>
      <c r="GD16" s="39"/>
      <c r="GE16" s="39"/>
      <c r="GF16" s="39"/>
      <c r="GG16" s="39"/>
      <c r="GH16" s="39"/>
      <c r="GI16" s="39"/>
      <c r="GJ16" s="39"/>
      <c r="GK16" s="39"/>
      <c r="GL16" s="39"/>
      <c r="GM16" s="39"/>
      <c r="GN16" s="39"/>
      <c r="GO16" s="39"/>
      <c r="GP16" s="39"/>
      <c r="GQ16" s="39"/>
      <c r="GR16" s="39"/>
      <c r="GS16" s="39"/>
      <c r="GT16" s="39"/>
      <c r="GU16" s="39"/>
      <c r="GV16" s="39"/>
      <c r="GW16" s="39"/>
      <c r="GX16" s="39"/>
      <c r="GY16" s="39"/>
      <c r="GZ16" s="39"/>
      <c r="HA16" s="39"/>
      <c r="HB16" s="39"/>
      <c r="HC16" s="39"/>
      <c r="HD16" s="39"/>
      <c r="HE16" s="39"/>
      <c r="HF16" s="39"/>
      <c r="HG16" s="39"/>
      <c r="HH16" s="39"/>
      <c r="HI16" s="39"/>
      <c r="HJ16" s="39"/>
      <c r="HK16" s="39"/>
      <c r="HL16" s="39"/>
      <c r="HM16" s="39"/>
      <c r="HN16" s="39"/>
      <c r="HO16" s="39"/>
      <c r="HP16" s="39"/>
      <c r="HQ16" s="39"/>
      <c r="HR16" s="39"/>
      <c r="HS16" s="39"/>
      <c r="HT16" s="39"/>
      <c r="HU16" s="39"/>
      <c r="HV16" s="39"/>
      <c r="HW16" s="39"/>
      <c r="HX16" s="39"/>
      <c r="HY16" s="39"/>
      <c r="HZ16" s="39"/>
      <c r="IA16" s="39"/>
      <c r="IB16" s="39"/>
      <c r="IC16" s="39"/>
      <c r="ID16" s="39"/>
      <c r="IE16" s="39"/>
      <c r="IF16" s="39"/>
      <c r="IG16" s="39"/>
      <c r="IH16" s="39"/>
      <c r="II16" s="39"/>
      <c r="IJ16" s="39"/>
      <c r="IK16" s="39"/>
      <c r="IL16" s="39"/>
      <c r="IM16" s="39"/>
      <c r="IN16" s="39"/>
      <c r="IO16" s="39"/>
      <c r="IP16" s="39"/>
      <c r="IQ16" s="39"/>
      <c r="IR16" s="39"/>
      <c r="IS16" s="39"/>
      <c r="IT16" s="39"/>
      <c r="IU16" s="39"/>
      <c r="IV16" s="39"/>
      <c r="IW16" s="39"/>
    </row>
    <row r="17" customFormat="false" ht="12.75" hidden="false" customHeight="false" outlineLevel="0" collapsed="false">
      <c r="A17" s="29" t="n">
        <v>8</v>
      </c>
      <c r="B17" s="30"/>
      <c r="C17" s="42" t="s">
        <v>44</v>
      </c>
      <c r="D17" s="43"/>
      <c r="E17" s="30" t="s">
        <v>41</v>
      </c>
      <c r="F17" s="43" t="n">
        <v>20</v>
      </c>
      <c r="G17" s="32" t="n">
        <v>2822</v>
      </c>
      <c r="H17" s="32" t="n">
        <v>2768</v>
      </c>
      <c r="I17" s="32" t="n">
        <v>2687.2</v>
      </c>
      <c r="J17" s="33" t="n">
        <f aca="false">AVERAGE(G17:I17)</f>
        <v>2759.07</v>
      </c>
      <c r="K17" s="34" t="n">
        <f aca="false">SQRT(((SUM((POWER(I17-J17,2)),(POWER(H17-J17,2)),(POWER(G17-J17,2)))/(COLUMNS(G17:I17)-1))))</f>
        <v>67.842562967506</v>
      </c>
      <c r="L17" s="34" t="n">
        <f aca="false">K17/J17*100</f>
        <v>2.45889241546992</v>
      </c>
      <c r="M17" s="35" t="n">
        <f aca="false">((F17/3)*(SUM(G17:I17)))</f>
        <v>55181.33</v>
      </c>
      <c r="N17" s="36" t="n">
        <f aca="false">M17/F17</f>
        <v>2759.0665</v>
      </c>
      <c r="O17" s="37" t="n">
        <f aca="false">ROUNDDOWN(N17,2)</f>
        <v>2759.06</v>
      </c>
      <c r="P17" s="37" t="n">
        <f aca="false">O17*F17</f>
        <v>55181.2</v>
      </c>
      <c r="Q17" s="27"/>
      <c r="R17" s="27"/>
    </row>
    <row r="18" customFormat="false" ht="12.75" hidden="false" customHeight="false" outlineLevel="0" collapsed="false">
      <c r="A18" s="29" t="n">
        <v>9</v>
      </c>
      <c r="B18" s="30"/>
      <c r="C18" s="41" t="s">
        <v>40</v>
      </c>
      <c r="D18" s="43"/>
      <c r="E18" s="30" t="s">
        <v>41</v>
      </c>
      <c r="F18" s="43" t="n">
        <v>60</v>
      </c>
      <c r="G18" s="32" t="n">
        <v>894</v>
      </c>
      <c r="H18" s="32" t="n">
        <v>877</v>
      </c>
      <c r="I18" s="32" t="n">
        <v>851.4</v>
      </c>
      <c r="J18" s="33" t="n">
        <f aca="false">AVERAGE(G18:I18)</f>
        <v>874.13</v>
      </c>
      <c r="K18" s="34" t="n">
        <f aca="false">SQRT(((SUM((POWER(I18-J18,2)),(POWER(H18-J18,2)),(POWER(G18-J18,2)))/(COLUMNS(G18:I18)-1))))</f>
        <v>21.4441915212488</v>
      </c>
      <c r="L18" s="34" t="n">
        <f aca="false">K18/J18*100</f>
        <v>2.45320393090831</v>
      </c>
      <c r="M18" s="35" t="n">
        <f aca="false">((F18/3)*(SUM(G18:I18)))</f>
        <v>52448</v>
      </c>
      <c r="N18" s="36" t="n">
        <f aca="false">M18/F18</f>
        <v>874.1333</v>
      </c>
      <c r="O18" s="37" t="n">
        <f aca="false">ROUNDDOWN(N18,2)</f>
        <v>874.13</v>
      </c>
      <c r="P18" s="37" t="n">
        <f aca="false">O18*F18</f>
        <v>52447.8</v>
      </c>
      <c r="Q18" s="27"/>
      <c r="R18" s="27"/>
    </row>
    <row r="19" customFormat="false" ht="12.75" hidden="false" customHeight="false" outlineLevel="0" collapsed="false">
      <c r="A19" s="29" t="n">
        <v>10</v>
      </c>
      <c r="B19" s="30"/>
      <c r="C19" s="41" t="s">
        <v>45</v>
      </c>
      <c r="D19" s="43"/>
      <c r="E19" s="30" t="s">
        <v>41</v>
      </c>
      <c r="F19" s="43" t="n">
        <v>10</v>
      </c>
      <c r="G19" s="32" t="n">
        <v>2128</v>
      </c>
      <c r="H19" s="32" t="n">
        <v>2084</v>
      </c>
      <c r="I19" s="32" t="n">
        <v>2024</v>
      </c>
      <c r="J19" s="33" t="n">
        <f aca="false">AVERAGE(G19:I19)</f>
        <v>2078.67</v>
      </c>
      <c r="K19" s="34" t="n">
        <f aca="false">SQRT(((SUM((POWER(I19-J19,2)),(POWER(H19-J19,2)),(POWER(G19-J19,2)))/(COLUMNS(G19:I19)-1))))</f>
        <v>52.204725360833</v>
      </c>
      <c r="L19" s="34" t="n">
        <f aca="false">K19/J19*100</f>
        <v>2.51144844351595</v>
      </c>
      <c r="M19" s="35" t="n">
        <f aca="false">((F19/3)*(SUM(G19:I19)))</f>
        <v>20786.67</v>
      </c>
      <c r="N19" s="36" t="n">
        <f aca="false">M19/F19</f>
        <v>2078.667</v>
      </c>
      <c r="O19" s="37" t="n">
        <f aca="false">ROUNDDOWN(N19,2)</f>
        <v>2078.66</v>
      </c>
      <c r="P19" s="37" t="n">
        <f aca="false">O19*F19</f>
        <v>20786.6</v>
      </c>
      <c r="Q19" s="27"/>
      <c r="R19" s="27"/>
    </row>
    <row r="20" customFormat="false" ht="12.75" hidden="false" customHeight="false" outlineLevel="0" collapsed="false">
      <c r="A20" s="29" t="n">
        <v>11</v>
      </c>
      <c r="B20" s="30"/>
      <c r="C20" s="42" t="s">
        <v>42</v>
      </c>
      <c r="D20" s="43"/>
      <c r="E20" s="30" t="s">
        <v>41</v>
      </c>
      <c r="F20" s="43" t="n">
        <v>3</v>
      </c>
      <c r="G20" s="32" t="n">
        <v>1174</v>
      </c>
      <c r="H20" s="32" t="n">
        <v>1152</v>
      </c>
      <c r="I20" s="32" t="n">
        <v>1118</v>
      </c>
      <c r="J20" s="33" t="n">
        <f aca="false">AVERAGE(G20:I20)</f>
        <v>1148</v>
      </c>
      <c r="K20" s="34" t="n">
        <f aca="false">SQRT(((SUM((POWER(I20-J20,2)),(POWER(H20-J20,2)),(POWER(G20-J20,2)))/(COLUMNS(G20:I20)-1))))</f>
        <v>28.2134719593318</v>
      </c>
      <c r="L20" s="34" t="n">
        <f aca="false">K20/J20*100</f>
        <v>2.45761950865259</v>
      </c>
      <c r="M20" s="35" t="n">
        <f aca="false">((F20/3)*(SUM(G20:I20)))</f>
        <v>3444</v>
      </c>
      <c r="N20" s="36" t="n">
        <f aca="false">M20/F20</f>
        <v>1148</v>
      </c>
      <c r="O20" s="37" t="n">
        <f aca="false">ROUNDDOWN(N20,2)</f>
        <v>1148</v>
      </c>
      <c r="P20" s="37" t="n">
        <f aca="false">O20*F20</f>
        <v>3444</v>
      </c>
      <c r="Q20" s="27"/>
      <c r="R20" s="27"/>
    </row>
    <row r="21" customFormat="false" ht="12.75" hidden="false" customHeight="false" outlineLevel="0" collapsed="false">
      <c r="A21" s="29" t="n">
        <v>12</v>
      </c>
      <c r="B21" s="30"/>
      <c r="C21" s="41" t="s">
        <v>45</v>
      </c>
      <c r="D21" s="43"/>
      <c r="E21" s="30" t="s">
        <v>41</v>
      </c>
      <c r="F21" s="43" t="n">
        <v>8</v>
      </c>
      <c r="G21" s="32" t="n">
        <v>849</v>
      </c>
      <c r="H21" s="32" t="n">
        <v>832</v>
      </c>
      <c r="I21" s="32" t="n">
        <v>807.75</v>
      </c>
      <c r="J21" s="33" t="n">
        <f aca="false">AVERAGE(G21:I21)</f>
        <v>829.58</v>
      </c>
      <c r="K21" s="34" t="n">
        <f aca="false">SQRT(((SUM((POWER(I21-J21,2)),(POWER(H21-J21,2)),(POWER(G21-J21,2)))/(COLUMNS(G21:I21)-1))))</f>
        <v>20.7309153198792</v>
      </c>
      <c r="L21" s="34" t="n">
        <f aca="false">K21/J21*100</f>
        <v>2.49896517754516</v>
      </c>
      <c r="M21" s="35" t="n">
        <f aca="false">((F21/3)*(SUM(G21:I21)))</f>
        <v>6636.67</v>
      </c>
      <c r="N21" s="36" t="n">
        <f aca="false">M21/F21</f>
        <v>829.5838</v>
      </c>
      <c r="O21" s="37" t="n">
        <f aca="false">ROUNDDOWN(N21,2)</f>
        <v>829.58</v>
      </c>
      <c r="P21" s="37" t="n">
        <f aca="false">O21*F21</f>
        <v>6636.64</v>
      </c>
      <c r="Q21" s="27"/>
      <c r="R21" s="27"/>
    </row>
    <row r="22" customFormat="false" ht="12.75" hidden="false" customHeight="false" outlineLevel="0" collapsed="false">
      <c r="A22" s="44" t="s">
        <v>46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5" t="n">
        <f aca="false">SUM(P10:R21)</f>
        <v>545237.94</v>
      </c>
      <c r="M22" s="46" t="s">
        <v>47</v>
      </c>
      <c r="N22" s="46"/>
      <c r="O22" s="46"/>
      <c r="P22" s="46"/>
      <c r="Q22" s="27"/>
      <c r="R22" s="27"/>
    </row>
    <row r="23" customFormat="false" ht="12.75" hidden="false" customHeight="false" outlineLevel="0" collapsed="false">
      <c r="A23" s="47"/>
      <c r="B23" s="47"/>
      <c r="C23" s="48"/>
      <c r="D23" s="49"/>
      <c r="E23" s="50"/>
      <c r="F23" s="50"/>
      <c r="G23" s="51"/>
      <c r="H23" s="51"/>
      <c r="I23" s="51"/>
      <c r="J23" s="51"/>
      <c r="K23" s="52"/>
      <c r="L23" s="52"/>
      <c r="M23" s="53"/>
      <c r="N23" s="54"/>
      <c r="O23" s="55"/>
      <c r="P23" s="55"/>
      <c r="Q23" s="27"/>
      <c r="R23" s="27"/>
    </row>
    <row r="24" customFormat="false" ht="12.75" hidden="false" customHeight="false" outlineLevel="0" collapsed="false">
      <c r="A24" s="56" t="s">
        <v>48</v>
      </c>
      <c r="B24" s="56"/>
      <c r="C24" s="56"/>
      <c r="D24" s="56"/>
      <c r="E24" s="27"/>
      <c r="F24" s="27"/>
      <c r="G24" s="27"/>
      <c r="H24" s="56" t="s">
        <v>49</v>
      </c>
      <c r="I24" s="27"/>
      <c r="J24" s="27"/>
      <c r="K24" s="27"/>
      <c r="L24" s="27"/>
      <c r="M24" s="27"/>
      <c r="N24" s="27"/>
      <c r="O24" s="27"/>
      <c r="P24" s="27"/>
      <c r="Q24" s="27"/>
      <c r="R24" s="27"/>
    </row>
    <row r="25" customFormat="false" ht="12.75" hidden="false" customHeight="false" outlineLevel="0" collapsed="false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</row>
    <row r="26" customFormat="false" ht="12.75" hidden="false" customHeight="true" outlineLevel="0" collapsed="false">
      <c r="A26" s="57" t="s">
        <v>50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27"/>
      <c r="R26" s="27"/>
    </row>
    <row r="27" customFormat="false" ht="12.75" hidden="false" customHeight="false" outlineLevel="0" collapsed="false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</row>
    <row r="28" customFormat="false" ht="12.75" hidden="false" customHeight="false" outlineLevel="0" collapsed="false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</row>
    <row r="29" customFormat="false" ht="12.75" hidden="false" customHeight="false" outlineLevel="0" collapsed="false">
      <c r="Q29" s="27"/>
      <c r="R29" s="27"/>
    </row>
    <row r="30" customFormat="false" ht="12.75" hidden="false" customHeight="false" outlineLevel="0" collapsed="false">
      <c r="Q30" s="27"/>
      <c r="R30" s="27"/>
    </row>
    <row r="31" customFormat="false" ht="12.75" hidden="false" customHeight="false" outlineLevel="0" collapsed="false">
      <c r="Q31" s="27"/>
      <c r="R31" s="27"/>
    </row>
    <row r="32" customFormat="false" ht="12.75" hidden="false" customHeight="false" outlineLevel="0" collapsed="false">
      <c r="Q32" s="27"/>
      <c r="R32" s="27"/>
    </row>
    <row r="33" customFormat="false" ht="12.75" hidden="false" customHeight="false" outlineLevel="0" collapsed="false">
      <c r="Q33" s="27"/>
      <c r="R33" s="27"/>
    </row>
    <row r="34" customFormat="false" ht="12.75" hidden="false" customHeight="false" outlineLevel="0" collapsed="false">
      <c r="Q34" s="27"/>
      <c r="R34" s="27"/>
    </row>
    <row r="35" customFormat="false" ht="12.75" hidden="false" customHeight="false" outlineLevel="0" collapsed="false">
      <c r="Q35" s="27"/>
      <c r="R35" s="27"/>
    </row>
    <row r="36" customFormat="false" ht="12.75" hidden="false" customHeight="false" outlineLevel="0" collapsed="false">
      <c r="Q36" s="27"/>
      <c r="R36" s="27"/>
    </row>
    <row r="37" customFormat="false" ht="40.9" hidden="false" customHeight="true" outlineLevel="0" collapsed="false">
      <c r="Q37" s="27"/>
      <c r="R37" s="27"/>
    </row>
    <row r="38" customFormat="false" ht="12.75" hidden="false" customHeight="false" outlineLevel="0" collapsed="false">
      <c r="Q38" s="27"/>
      <c r="R38" s="27"/>
    </row>
    <row r="39" customFormat="false" ht="12.75" hidden="false" customHeight="false" outlineLevel="0" collapsed="false">
      <c r="Q39" s="27"/>
      <c r="R39" s="27"/>
    </row>
    <row r="40" customFormat="false" ht="12.75" hidden="false" customHeight="false" outlineLevel="0" collapsed="false">
      <c r="Q40" s="27"/>
      <c r="R40" s="27"/>
    </row>
    <row r="41" customFormat="false" ht="12.75" hidden="false" customHeight="false" outlineLevel="0" collapsed="false">
      <c r="Q41" s="27"/>
      <c r="R41" s="27"/>
    </row>
    <row r="42" customFormat="false" ht="12.75" hidden="false" customHeight="false" outlineLevel="0" collapsed="false">
      <c r="Q42" s="27"/>
      <c r="R42" s="27"/>
    </row>
    <row r="43" customFormat="false" ht="30" hidden="false" customHeight="true" outlineLevel="0" collapsed="false">
      <c r="Q43" s="27"/>
      <c r="R43" s="27"/>
    </row>
    <row r="44" customFormat="false" ht="27" hidden="false" customHeight="true" outlineLevel="0" collapsed="false">
      <c r="Q44" s="27"/>
      <c r="R44" s="27"/>
    </row>
    <row r="45" customFormat="false" ht="12.75" hidden="false" customHeight="false" outlineLevel="0" collapsed="false">
      <c r="Q45" s="27"/>
      <c r="R45" s="27"/>
    </row>
    <row r="46" customFormat="false" ht="27" hidden="false" customHeight="true" outlineLevel="0" collapsed="false">
      <c r="Q46" s="27"/>
      <c r="R46" s="27"/>
    </row>
    <row r="47" customFormat="false" ht="12.75" hidden="false" customHeight="false" outlineLevel="0" collapsed="false">
      <c r="Q47" s="27"/>
      <c r="R47" s="27"/>
    </row>
    <row r="48" customFormat="false" ht="12.75" hidden="false" customHeight="false" outlineLevel="0" collapsed="false">
      <c r="Q48" s="27"/>
      <c r="R48" s="27"/>
    </row>
    <row r="49" customFormat="false" ht="12.75" hidden="false" customHeight="false" outlineLevel="0" collapsed="false">
      <c r="Q49" s="27"/>
      <c r="R49" s="27"/>
    </row>
    <row r="50" customFormat="false" ht="12.75" hidden="false" customHeight="false" outlineLevel="0" collapsed="false">
      <c r="Q50" s="27"/>
      <c r="R50" s="27"/>
    </row>
    <row r="51" customFormat="false" ht="12.75" hidden="false" customHeight="false" outlineLevel="0" collapsed="false">
      <c r="Q51" s="27"/>
      <c r="R51" s="27"/>
    </row>
    <row r="52" customFormat="false" ht="12.75" hidden="false" customHeight="false" outlineLevel="0" collapsed="false">
      <c r="Q52" s="27"/>
      <c r="R52" s="27"/>
    </row>
    <row r="53" customFormat="false" ht="27" hidden="false" customHeight="true" outlineLevel="0" collapsed="false">
      <c r="Q53" s="27"/>
      <c r="R53" s="27"/>
    </row>
    <row r="54" customFormat="false" ht="12.75" hidden="false" customHeight="false" outlineLevel="0" collapsed="false">
      <c r="Q54" s="58"/>
      <c r="R54" s="59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0"/>
      <c r="BU54" s="60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0"/>
      <c r="CO54" s="60"/>
      <c r="CP54" s="60"/>
      <c r="CQ54" s="60"/>
      <c r="CR54" s="60"/>
      <c r="CS54" s="60"/>
      <c r="CT54" s="60"/>
      <c r="CU54" s="60"/>
      <c r="CV54" s="60"/>
      <c r="CW54" s="60"/>
      <c r="CX54" s="60"/>
      <c r="CY54" s="60"/>
      <c r="CZ54" s="60"/>
      <c r="DA54" s="60"/>
      <c r="DB54" s="60"/>
      <c r="DC54" s="60"/>
      <c r="DD54" s="60"/>
      <c r="DE54" s="60"/>
      <c r="DF54" s="60"/>
      <c r="DG54" s="60"/>
      <c r="DH54" s="60"/>
      <c r="DI54" s="60"/>
      <c r="DJ54" s="60"/>
      <c r="DK54" s="60"/>
      <c r="DL54" s="60"/>
      <c r="DM54" s="60"/>
      <c r="DN54" s="60"/>
      <c r="DO54" s="60"/>
      <c r="DP54" s="60"/>
      <c r="DQ54" s="60"/>
      <c r="DR54" s="60"/>
      <c r="DS54" s="60"/>
      <c r="DT54" s="60"/>
      <c r="DU54" s="60"/>
      <c r="DV54" s="60"/>
      <c r="DW54" s="60"/>
      <c r="DX54" s="60"/>
      <c r="DY54" s="60"/>
      <c r="DZ54" s="60"/>
      <c r="EA54" s="60"/>
      <c r="EB54" s="60"/>
      <c r="EC54" s="60"/>
      <c r="ED54" s="60"/>
      <c r="EE54" s="60"/>
      <c r="EF54" s="60"/>
      <c r="EG54" s="60"/>
      <c r="EH54" s="60"/>
      <c r="EI54" s="60"/>
      <c r="EJ54" s="60"/>
      <c r="EK54" s="60"/>
      <c r="EL54" s="60"/>
      <c r="EM54" s="60"/>
      <c r="EN54" s="60"/>
      <c r="EO54" s="60"/>
      <c r="EP54" s="60"/>
      <c r="EQ54" s="60"/>
      <c r="ER54" s="60"/>
      <c r="ES54" s="60"/>
      <c r="ET54" s="60"/>
      <c r="EU54" s="60"/>
      <c r="EV54" s="60"/>
      <c r="EW54" s="60"/>
      <c r="EX54" s="60"/>
      <c r="EY54" s="60"/>
      <c r="EZ54" s="60"/>
      <c r="FA54" s="60"/>
      <c r="FB54" s="60"/>
      <c r="FC54" s="60"/>
      <c r="FD54" s="60"/>
      <c r="FE54" s="60"/>
      <c r="FF54" s="60"/>
      <c r="FG54" s="60"/>
      <c r="FH54" s="60"/>
      <c r="FI54" s="60"/>
      <c r="FJ54" s="60"/>
      <c r="FK54" s="60"/>
      <c r="FL54" s="60"/>
      <c r="FM54" s="60"/>
      <c r="FN54" s="60"/>
      <c r="FO54" s="60"/>
      <c r="FP54" s="60"/>
      <c r="FQ54" s="60"/>
      <c r="FR54" s="60"/>
      <c r="FS54" s="60"/>
      <c r="FT54" s="60"/>
      <c r="FU54" s="60"/>
      <c r="FV54" s="60"/>
      <c r="FW54" s="60"/>
      <c r="FX54" s="60"/>
      <c r="FY54" s="60"/>
      <c r="FZ54" s="60"/>
      <c r="GA54" s="60"/>
      <c r="GB54" s="60"/>
      <c r="GC54" s="60"/>
      <c r="GD54" s="60"/>
      <c r="GE54" s="60"/>
      <c r="GF54" s="60"/>
      <c r="GG54" s="60"/>
      <c r="GH54" s="60"/>
      <c r="GI54" s="60"/>
      <c r="GJ54" s="60"/>
      <c r="GK54" s="60"/>
      <c r="GL54" s="60"/>
      <c r="GM54" s="60"/>
      <c r="GN54" s="60"/>
      <c r="GO54" s="60"/>
      <c r="GP54" s="60"/>
      <c r="GQ54" s="60"/>
      <c r="GR54" s="60"/>
      <c r="GS54" s="60"/>
      <c r="GT54" s="60"/>
      <c r="GU54" s="60"/>
      <c r="GV54" s="60"/>
      <c r="GW54" s="60"/>
      <c r="GX54" s="60"/>
      <c r="GY54" s="60"/>
      <c r="GZ54" s="60"/>
      <c r="HA54" s="60"/>
      <c r="HB54" s="60"/>
      <c r="HC54" s="60"/>
      <c r="HD54" s="60"/>
      <c r="HE54" s="60"/>
      <c r="HF54" s="60"/>
      <c r="HG54" s="60"/>
      <c r="HH54" s="60"/>
      <c r="HI54" s="60"/>
      <c r="HJ54" s="60"/>
      <c r="HK54" s="60"/>
      <c r="HL54" s="60"/>
      <c r="HM54" s="60"/>
      <c r="HN54" s="60"/>
      <c r="HO54" s="60"/>
      <c r="HP54" s="60"/>
      <c r="HQ54" s="60"/>
      <c r="HR54" s="60"/>
      <c r="HS54" s="60"/>
      <c r="HT54" s="60"/>
      <c r="HU54" s="60"/>
      <c r="HV54" s="60"/>
      <c r="HW54" s="60"/>
      <c r="HX54" s="60"/>
      <c r="HY54" s="60"/>
      <c r="HZ54" s="60"/>
      <c r="IA54" s="60"/>
      <c r="IB54" s="60"/>
      <c r="IC54" s="60"/>
      <c r="ID54" s="60"/>
      <c r="IE54" s="60"/>
      <c r="IF54" s="60"/>
      <c r="IG54" s="60"/>
      <c r="IH54" s="60"/>
      <c r="II54" s="60"/>
      <c r="IJ54" s="60"/>
      <c r="IK54" s="60"/>
      <c r="IL54" s="60"/>
      <c r="IM54" s="60"/>
      <c r="IN54" s="60"/>
      <c r="IO54" s="60"/>
      <c r="IP54" s="60"/>
      <c r="IQ54" s="60"/>
      <c r="IR54" s="60"/>
      <c r="IS54" s="60"/>
      <c r="IT54" s="60"/>
      <c r="IU54" s="60"/>
      <c r="IV54" s="60"/>
      <c r="IW54" s="60"/>
    </row>
    <row r="55" customFormat="false" ht="12.75" hidden="false" customHeight="false" outlineLevel="0" collapsed="false">
      <c r="Q55" s="27"/>
      <c r="R55" s="27"/>
    </row>
    <row r="56" customFormat="false" ht="12.75" hidden="false" customHeight="false" outlineLevel="0" collapsed="false">
      <c r="Q56" s="27"/>
      <c r="R56" s="27"/>
    </row>
    <row r="57" customFormat="false" ht="12.75" hidden="false" customHeight="false" outlineLevel="0" collapsed="false">
      <c r="Q57" s="27"/>
      <c r="R57" s="27"/>
    </row>
    <row r="58" customFormat="false" ht="31.9" hidden="false" customHeight="true" outlineLevel="0" collapsed="false">
      <c r="Q58" s="27"/>
      <c r="R58" s="27"/>
    </row>
    <row r="59" customFormat="false" ht="12.75" hidden="false" customHeight="false" outlineLevel="0" collapsed="false">
      <c r="Q59" s="27"/>
      <c r="R59" s="27"/>
    </row>
    <row r="60" customFormat="false" ht="12.75" hidden="false" customHeight="false" outlineLevel="0" collapsed="false">
      <c r="Q60" s="27"/>
      <c r="R60" s="27"/>
    </row>
  </sheetData>
  <mergeCells count="19">
    <mergeCell ref="N1:R1"/>
    <mergeCell ref="M2:Q2"/>
    <mergeCell ref="M3:R3"/>
    <mergeCell ref="M4:R4"/>
    <mergeCell ref="M5:R5"/>
    <mergeCell ref="A6:P6"/>
    <mergeCell ref="A7:R7"/>
    <mergeCell ref="A8:A9"/>
    <mergeCell ref="B8:B9"/>
    <mergeCell ref="C8:C9"/>
    <mergeCell ref="D8:D9"/>
    <mergeCell ref="E8:E9"/>
    <mergeCell ref="F8:F9"/>
    <mergeCell ref="G8:I8"/>
    <mergeCell ref="J8:L8"/>
    <mergeCell ref="M8:P8"/>
    <mergeCell ref="B10:B21"/>
    <mergeCell ref="A22:K22"/>
    <mergeCell ref="A26:P26"/>
  </mergeCells>
  <printOptions headings="false" gridLines="false" gridLinesSet="true" horizontalCentered="false" verticalCentered="false"/>
  <pageMargins left="0.220138888888889" right="0.209722222222222" top="0.290277777777778" bottom="0.309722222222222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2014-01-15T22:15:09Z</dcterms:created>
  <dc:creator>SaVa</dc:creator>
  <dc:description/>
  <dc:language>ru-RU</dc:language>
  <cp:lastModifiedBy>User</cp:lastModifiedBy>
  <cp:lastPrinted>2023-12-06T10:56:34Z</cp:lastPrinted>
  <dcterms:modified xsi:type="dcterms:W3CDTF">2026-03-25T11:58:11Z</dcterms:modified>
  <cp:revision>0</cp:revision>
  <dc:subject/>
  <dc:title/>
</cp:coreProperties>
</file>