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<sst xmlns="http://schemas.openxmlformats.org/spreadsheetml/2006/main" count="24" uniqueCount="24">
  <si>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Приложение 8 (А или К) или 9 (К или ЗП)
к ДоЗ
от___________________№________________
</t>
  </si>
  <si>
    <t xml:space="preserve">ФОРМА ОБОСНОВАНИЯ НМЦ
ОБОСНОВАНИЕ НАЧАЛЬНОЙ (МАКСИМАЛЬНОЙ) ЦЕНЫ ДОГОВОРА / ЦЕНЫ ЕДИНИЦЫ ТОВАРА, РАБОТЫ, УСЛУГИ
</t>
  </si>
  <si>
    <t xml:space="preserve">1. Общая информация</t>
  </si>
  <si>
    <t xml:space="preserve">№ п/п</t>
  </si>
  <si>
    <t xml:space="preserve">Наименование</t>
  </si>
  <si>
    <t xml:space="preserve">Информация по лоту</t>
  </si>
  <si>
    <t xml:space="preserve">1.1.                       </t>
  </si>
  <si>
    <t xml:space="preserve">Наименование лота</t>
  </si>
  <si>
    <t xml:space="preserve">ОКПД2 27.12.32.000 Поставка шкафов релейной защиты, автоматики и управления для ОП "Южно Сахалинская ТЭЦ-1" в рамках реализации инвестиционного проекта "Строительство 6-го энергоблока ОП «Южно-Сахалинская ТЭЦ-1» мощностью 50 МВт с установкой двух газотурбинных энергоагрегатов ЭГЭС-25ПА (ПИР)</t>
  </si>
  <si>
    <t xml:space="preserve">1.2.                       </t>
  </si>
  <si>
    <t xml:space="preserve">Номер лота</t>
  </si>
  <si>
    <t xml:space="preserve">243-ТПИР ОТМ-2026-СЭ</t>
  </si>
  <si>
    <t xml:space="preserve">1.3.                       </t>
  </si>
  <si>
    <t xml:space="preserve">НМЦ лота</t>
  </si>
  <si>
    <t xml:space="preserve">2. Использованный метод (методы) расчета НМЦ / цены единицы товара, работы, услуги:</t>
  </si>
  <si>
    <t xml:space="preserve">Метод анализа технико-коммерческих предложений (мониторинг проведен на электронной площадке № RH22072500030)
Обоснование расчета НМЦ:
</t>
  </si>
  <si>
    <t xml:space="preserve">Наименование товара/ работы/ услуги в составе лота</t>
  </si>
  <si>
    <t xml:space="preserve">Наименование источника ценовой информации (ИЦИ)</t>
  </si>
  <si>
    <t xml:space="preserve">Цена из соответствующего ИЦИ, в руб. без НДС</t>
  </si>
  <si>
    <t xml:space="preserve">Цена итоговая, в руб. без НДС</t>
  </si>
  <si>
    <t xml:space="preserve">Комментарии</t>
  </si>
  <si>
    <t xml:space="preserve">ТКП1, ТКП2</t>
  </si>
  <si>
    <t xml:space="preserve">ТКП3, ТКП4</t>
  </si>
  <si>
    <t xml:space="preserve">ТКП5, ТКП6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</si>
</sst>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0"/>
    <numFmt numFmtId="167" formatCode="General"/>
    <numFmt numFmtId="168" formatCode="#,##0.00\ _₽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1"/>
      <charset val="204"/>
    </font>
    <font>
      <b val="true"/>
      <sz val="12"/>
      <color rgb="FF000000"/>
      <name val="Times New Roman"/>
      <family val="1"/>
      <charset val="204"/>
    </font>
    <font>
      <b val="true"/>
      <sz val="10"/>
      <color rgb="FF000000"/>
      <name val="Times New Roman"/>
      <family val="1"/>
      <charset val="204"/>
    </font>
    <font>
      <i val="true"/>
      <sz val="11"/>
      <name val="Times New Roman"/>
      <family val="1"/>
      <charset val="1"/>
    </font>
    <font>
      <i val="true"/>
      <sz val="10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E7E6E6"/>
      </patternFill>
    </fill>
    <fill>
      <patternFill patternType="solid">
        <fgColor rgb="FFE7E6E6"/>
        <bgColor rgb="FFD9D9D9"/>
      </patternFill>
    </fill>
    <fill>
      <patternFill patternType="solid">
        <fgColor rgb="FFFFFFFF"/>
        <bgColor rgb="FFE7E6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8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D27" activeCellId="0" sqref="D27"/>
    </sheetView>
  </sheetViews>
  <sheetFormatPr defaultColWidth="9.12890625" defaultRowHeight="12.75" zeroHeight="false" outlineLevelRow="0" outlineLevelCol="0"/>
  <cols>
    <col collapsed="false" customWidth="false" hidden="false" outlineLevel="0" max="1" min="1" style="1" width="9.13"/>
    <col collapsed="false" customWidth="true" hidden="false" outlineLevel="0" max="2" min="2" style="2" width="28.86"/>
    <col collapsed="false" customWidth="true" hidden="false" outlineLevel="0" max="3" min="3" style="1" width="35.29"/>
    <col collapsed="false" customWidth="true" hidden="false" outlineLevel="0" max="4" min="4" style="1" width="29.57"/>
    <col collapsed="false" customWidth="true" hidden="false" outlineLevel="0" max="5" min="5" style="1" width="14.37"/>
    <col collapsed="false" customWidth="true" hidden="false" outlineLevel="0" max="6" min="6" style="1" width="17.86"/>
    <col collapsed="false" customWidth="false" hidden="false" outlineLevel="0" max="7" min="7" style="1" width="9.13"/>
    <col collapsed="false" customWidth="true" hidden="false" outlineLevel="0" max="8" min="8" style="1" width="11.43"/>
    <col collapsed="false" customWidth="false" hidden="false" outlineLevel="0" max="16384" min="9" style="1" width="9.13"/>
  </cols>
  <sheetData>
    <row r="1" customFormat="false" ht="15.75" hidden="false" customHeight="true" outlineLevel="0" collapsed="false">
      <c r="A1" s="3" t="s">
        <v>0</v>
      </c>
      <c r="B1" s="3"/>
      <c r="C1" s="3"/>
      <c r="D1" s="3"/>
      <c r="E1" s="3"/>
      <c r="F1" s="3"/>
    </row>
    <row r="2" customFormat="false" ht="15.75" hidden="false" customHeight="true" outlineLevel="0" collapsed="false">
      <c r="A2" s="3"/>
      <c r="B2" s="3"/>
      <c r="C2" s="3"/>
      <c r="D2" s="3"/>
      <c r="E2" s="3"/>
      <c r="F2" s="3"/>
    </row>
    <row r="3" customFormat="false" ht="15.75" hidden="false" customHeight="true" outlineLevel="0" collapsed="false">
      <c r="A3" s="3"/>
      <c r="B3" s="3"/>
      <c r="C3" s="3"/>
      <c r="D3" s="3"/>
      <c r="E3" s="3"/>
      <c r="F3" s="3"/>
    </row>
    <row r="4" customFormat="false" ht="15.75" hidden="false" customHeight="true" outlineLevel="0" collapsed="false">
      <c r="A4" s="4" t="s">
        <v>1</v>
      </c>
      <c r="B4" s="4"/>
      <c r="C4" s="4"/>
      <c r="D4" s="4"/>
      <c r="E4" s="4"/>
      <c r="F4" s="4"/>
    </row>
    <row r="5" customFormat="false" ht="16.5" hidden="false" customHeight="true" outlineLevel="0" collapsed="false">
      <c r="A5" s="4"/>
      <c r="B5" s="4"/>
      <c r="C5" s="4"/>
      <c r="D5" s="4"/>
      <c r="E5" s="4"/>
      <c r="F5" s="4"/>
    </row>
    <row r="6" customFormat="false" ht="16.5" hidden="false" customHeight="true" outlineLevel="0" collapsed="false">
      <c r="A6" s="4"/>
      <c r="B6" s="4"/>
      <c r="C6" s="4"/>
      <c r="D6" s="4"/>
      <c r="E6" s="4"/>
      <c r="F6" s="4"/>
    </row>
    <row r="7" customFormat="false" ht="16.5" hidden="false" customHeight="true" outlineLevel="0" collapsed="false">
      <c r="A7" s="4"/>
      <c r="B7" s="4"/>
      <c r="C7" s="4"/>
      <c r="D7" s="4"/>
      <c r="E7" s="4"/>
      <c r="F7" s="4"/>
    </row>
    <row r="8" customFormat="false" ht="16.5" hidden="false" customHeight="true" outlineLevel="0" collapsed="false">
      <c r="A8" s="4"/>
      <c r="B8" s="4"/>
      <c r="C8" s="4"/>
      <c r="D8" s="4"/>
      <c r="E8" s="4"/>
      <c r="F8" s="4"/>
    </row>
    <row r="9" customFormat="false" ht="16.5" hidden="false" customHeight="true" outlineLevel="0" collapsed="false">
      <c r="A9" s="4"/>
      <c r="B9" s="4"/>
      <c r="C9" s="4"/>
      <c r="D9" s="4"/>
      <c r="E9" s="4"/>
      <c r="F9" s="4"/>
    </row>
    <row r="10" customFormat="false" ht="12.75" hidden="false" customHeight="false" outlineLevel="0" collapsed="false">
      <c r="A10" s="4"/>
      <c r="B10" s="4"/>
      <c r="C10" s="4"/>
      <c r="D10" s="4"/>
      <c r="E10" s="4"/>
      <c r="F10" s="4"/>
    </row>
    <row r="11" customFormat="false" ht="15.75" hidden="false" customHeight="false" outlineLevel="0" collapsed="false">
      <c r="A11" s="5"/>
      <c r="B11" s="5"/>
      <c r="C11" s="5"/>
      <c r="D11" s="5"/>
      <c r="E11" s="5"/>
      <c r="F11" s="5"/>
    </row>
    <row r="12" customFormat="false" ht="15.75" hidden="false" customHeight="false" outlineLevel="0" collapsed="false">
      <c r="A12" s="6" t="s">
        <v>2</v>
      </c>
      <c r="B12" s="6"/>
      <c r="C12" s="6"/>
      <c r="D12" s="5"/>
      <c r="E12" s="5"/>
      <c r="F12" s="5"/>
    </row>
    <row r="14" s="8" customFormat="true" ht="12.75" hidden="false" customHeight="true" outlineLevel="0" collapsed="false">
      <c r="A14" s="7" t="s">
        <v>3</v>
      </c>
      <c r="B14" s="7" t="s">
        <v>4</v>
      </c>
      <c r="C14" s="7" t="s">
        <v>5</v>
      </c>
      <c r="D14" s="7"/>
    </row>
    <row r="15" customFormat="false" ht="61.15" hidden="false" customHeight="true" outlineLevel="0" collapsed="false">
      <c r="A15" s="9" t="s">
        <v>6</v>
      </c>
      <c r="B15" s="10" t="s">
        <v>7</v>
      </c>
      <c r="C15" s="11" t="s">
        <v>8</v>
      </c>
      <c r="D15" s="11"/>
    </row>
    <row r="16" customFormat="false" ht="23.85" hidden="false" customHeight="true" outlineLevel="0" collapsed="false">
      <c r="A16" s="9" t="s">
        <v>9</v>
      </c>
      <c r="B16" s="10" t="s">
        <v>10</v>
      </c>
      <c r="C16" s="11" t="s">
        <v>11</v>
      </c>
      <c r="D16" s="11"/>
    </row>
    <row r="17" customFormat="false" ht="90.75" hidden="false" customHeight="true" outlineLevel="0" collapsed="false">
      <c r="A17" s="9" t="s">
        <v>12</v>
      </c>
      <c r="B17" s="10" t="s">
        <v>13</v>
      </c>
      <c r="C17" s="12" t="n">
        <f aca="false">E24</f>
        <v>113074720</v>
      </c>
      <c r="D17" s="12"/>
      <c r="F17" s="13"/>
    </row>
    <row r="19" customFormat="false" ht="12.75" hidden="false" customHeight="false" outlineLevel="0" collapsed="false">
      <c r="A19" s="6" t="s">
        <v>14</v>
      </c>
      <c r="B19" s="6"/>
      <c r="C19" s="6"/>
      <c r="D19" s="6"/>
      <c r="E19" s="6"/>
      <c r="F19" s="6"/>
    </row>
    <row r="20" customFormat="false" ht="12.75" hidden="false" customHeight="false" outlineLevel="0" collapsed="false">
      <c r="A20" s="6"/>
      <c r="B20" s="6"/>
      <c r="C20" s="6"/>
      <c r="D20" s="6"/>
      <c r="E20" s="6"/>
      <c r="F20" s="6"/>
    </row>
    <row r="21" customFormat="false" ht="44.25" hidden="false" customHeight="true" outlineLevel="0" collapsed="false">
      <c r="A21" s="14" t="s">
        <v>15</v>
      </c>
      <c r="B21" s="14"/>
      <c r="C21" s="14"/>
      <c r="D21" s="14"/>
      <c r="E21" s="14"/>
      <c r="F21" s="15"/>
    </row>
    <row r="23" customFormat="false" ht="38.25" hidden="false" customHeight="false" outlineLevel="0" collapsed="false">
      <c r="B23" s="16" t="s">
        <v>16</v>
      </c>
      <c r="C23" s="16" t="s">
        <v>17</v>
      </c>
      <c r="D23" s="16" t="s">
        <v>18</v>
      </c>
      <c r="E23" s="16" t="s">
        <v>19</v>
      </c>
      <c r="F23" s="16" t="s">
        <v>20</v>
      </c>
    </row>
    <row r="24" customFormat="false" ht="24.75" hidden="false" customHeight="true" outlineLevel="0" collapsed="false">
      <c r="B24" s="17" t="str">
        <f aca="false">C15</f>
        <v>ОКПД2 27.12.32.000 Поставка шкафов релейной защиты, автоматики и управления для ОП "Южно Сахалинская ТЭЦ-1" в рамках реализации инвестиционного проекта "Строительство 6-го энергоблока ОП «Южно-Сахалинская ТЭЦ-1» мощностью 50 МВт с установкой двух газотурбинных энергоагрегатов ЭГЭС-25ПА (ПИР)</v>
      </c>
      <c r="C24" s="18" t="s">
        <v>21</v>
      </c>
      <c r="D24" s="19" t="n">
        <f aca="false">65010000+68542960-3500000-2530000</f>
        <v>127522960</v>
      </c>
      <c r="E24" s="20" t="n">
        <f aca="false">D25</f>
        <v>113074720</v>
      </c>
      <c r="F24" s="18"/>
      <c r="H24" s="21"/>
    </row>
    <row r="25" customFormat="false" ht="20.25" hidden="false" customHeight="true" outlineLevel="0" collapsed="false">
      <c r="B25" s="17"/>
      <c r="C25" s="18" t="s">
        <v>22</v>
      </c>
      <c r="D25" s="19" t="n">
        <f aca="false">55140000+60233720-2299000</f>
        <v>113074720</v>
      </c>
      <c r="E25" s="20"/>
      <c r="F25" s="18"/>
      <c r="H25" s="21"/>
    </row>
    <row r="26" customFormat="false" ht="21" hidden="false" customHeight="true" outlineLevel="0" collapsed="false">
      <c r="B26" s="17"/>
      <c r="C26" s="18" t="s">
        <v>23</v>
      </c>
      <c r="D26" s="19" t="n">
        <f aca="false">63523810+60188000-3128900-3235000</f>
        <v>117347910</v>
      </c>
      <c r="E26" s="20"/>
      <c r="F26" s="18"/>
      <c r="H26" s="21"/>
    </row>
    <row r="27" customFormat="false" ht="12.75" hidden="false" customHeight="false" outlineLevel="0" collapsed="false">
      <c r="B27" s="22"/>
    </row>
  </sheetData>
  <mergeCells count="11">
    <mergeCell ref="A1:F3"/>
    <mergeCell ref="A4:F10"/>
    <mergeCell ref="A12:C12"/>
    <mergeCell ref="C14:D14"/>
    <mergeCell ref="C15:D15"/>
    <mergeCell ref="C16:D16"/>
    <mergeCell ref="C17:D17"/>
    <mergeCell ref="A19:F20"/>
    <mergeCell ref="A21:E21"/>
    <mergeCell ref="B24:B26"/>
    <mergeCell ref="E24:E26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237</TotalTime>
  <Application>AlterOffice/3.3.1.3$Linux_X86_64 LibreOffice_project/90d829a0d92d6015ad4fa014ce4f460a7fe6c0ba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ru-RU</dc:language>
  <cp:lastModifiedBy/>
  <dcterms:modified xsi:type="dcterms:W3CDTF">2025-11-26T15:17:00Z</dcterms:modified>
  <cp:revision>60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